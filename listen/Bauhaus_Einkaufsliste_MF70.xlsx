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uhaus-Einkaufsliste" sheetId="1" state="visible" r:id="rId1"/>
    <sheet xmlns:r="http://schemas.openxmlformats.org/officeDocument/2006/relationships" name="Nicht bei Bauhaus" sheetId="2" state="visible" r:id="rId2"/>
    <sheet xmlns:r="http://schemas.openxmlformats.org/officeDocument/2006/relationships" name="Tipps für den Einkauf" sheetId="3" state="visible" r:id="rId3"/>
  </sheets>
  <definedNames>
    <definedName name="_xlnm._FilterDatabase" localSheetId="0" hidden="1">'Bauhaus-Einkaufsliste'!$A$5:$M$48</definedName>
    <definedName name="_xlnm.Print_Titles" localSheetId="0">'Bauhaus-Einkaufsliste'!$5:$5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Arial"/>
      <b val="1"/>
      <color rgb="005C3A21"/>
      <sz val="16"/>
    </font>
    <font>
      <name val="Arial"/>
      <i val="1"/>
      <color rgb="005E4B3A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color rgb="0074482A"/>
      <sz val="11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5C3A2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CBB6"/>
      </left>
      <right style="thin">
        <color rgb="00D9CBB6"/>
      </right>
      <top style="thin">
        <color rgb="00D9CBB6"/>
      </top>
      <bottom style="thin">
        <color rgb="00D9CBB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uhaus.info/netzkabel/hama-netzkabel-fuer-kaltgeraete-90-gewinkelt/p/31062268" TargetMode="External" Id="rId1"/><Relationship Type="http://schemas.openxmlformats.org/officeDocument/2006/relationships/hyperlink" Target="https://www.bauhaus.info/p/12181202" TargetMode="External" Id="rId2"/><Relationship Type="http://schemas.openxmlformats.org/officeDocument/2006/relationships/hyperlink" Target="https://www.bauhaus.info/p/12181226" TargetMode="External" Id="rId3"/><Relationship Type="http://schemas.openxmlformats.org/officeDocument/2006/relationships/hyperlink" Target="https://www.bauhaus.info/p/12181240" TargetMode="External" Id="rId4"/><Relationship Type="http://schemas.openxmlformats.org/officeDocument/2006/relationships/hyperlink" Target="https://www.bauhaus.info/p/12157487" TargetMode="External" Id="rId5"/><Relationship Type="http://schemas.openxmlformats.org/officeDocument/2006/relationships/hyperlink" Target="https://www.bauhaus.info/p/12255626" TargetMode="External" Id="rId6"/><Relationship Type="http://schemas.openxmlformats.org/officeDocument/2006/relationships/hyperlink" Target="https://www.bauhaus.info/p/12170048" TargetMode="External" Id="rId7"/><Relationship Type="http://schemas.openxmlformats.org/officeDocument/2006/relationships/hyperlink" Target="https://www.bauhaus.info/p/12189091" TargetMode="External" Id="rId8"/><Relationship Type="http://schemas.openxmlformats.org/officeDocument/2006/relationships/hyperlink" Target="https://www.bauhaus.info/p/21996605" TargetMode="External" Id="rId9"/><Relationship Type="http://schemas.openxmlformats.org/officeDocument/2006/relationships/hyperlink" Target="https://www.bauhaus.info/p/22899178" TargetMode="External" Id="rId10"/><Relationship Type="http://schemas.openxmlformats.org/officeDocument/2006/relationships/hyperlink" Target="https://www.bauhaus.info/p/22557166" TargetMode="External" Id="rId11"/><Relationship Type="http://schemas.openxmlformats.org/officeDocument/2006/relationships/hyperlink" Target="https://www.bauhaus.info/p/30146956" TargetMode="External" Id="rId12"/><Relationship Type="http://schemas.openxmlformats.org/officeDocument/2006/relationships/hyperlink" Target="https://www.bauhaus.info/p/12188827" TargetMode="External" Id="rId13"/><Relationship Type="http://schemas.openxmlformats.org/officeDocument/2006/relationships/hyperlink" Target="https://www.bauhaus.info/p/25323320" TargetMode="External" Id="rId14"/><Relationship Type="http://schemas.openxmlformats.org/officeDocument/2006/relationships/hyperlink" Target="https://www.bauhaus.info/p/22125606" TargetMode="External" Id="rId15"/><Relationship Type="http://schemas.openxmlformats.org/officeDocument/2006/relationships/hyperlink" Target="https://www.bauhaus.info/p/22125615" TargetMode="External" Id="rId16"/><Relationship Type="http://schemas.openxmlformats.org/officeDocument/2006/relationships/hyperlink" Target="https://www.bauhaus.info/p/22126113" TargetMode="External" Id="rId17"/><Relationship Type="http://schemas.openxmlformats.org/officeDocument/2006/relationships/hyperlink" Target="https://www.bauhaus.info/p/26787619" TargetMode="External" Id="rId18"/><Relationship Type="http://schemas.openxmlformats.org/officeDocument/2006/relationships/hyperlink" Target="https://www.bauhaus.info/p/20748724" TargetMode="External" Id="rId19"/><Relationship Type="http://schemas.openxmlformats.org/officeDocument/2006/relationships/hyperlink" Target="https://www.bauhaus.info/p/30448874" TargetMode="External" Id="rId20"/><Relationship Type="http://schemas.openxmlformats.org/officeDocument/2006/relationships/hyperlink" Target="https://www.bauhaus.info/p/30568745" TargetMode="External" Id="rId21"/><Relationship Type="http://schemas.openxmlformats.org/officeDocument/2006/relationships/hyperlink" Target="https://www.bauhaus.info/p/10795755" TargetMode="External" Id="rId22"/><Relationship Type="http://schemas.openxmlformats.org/officeDocument/2006/relationships/hyperlink" Target="https://www.bauhaus.info/p/21307483" TargetMode="External" Id="rId23"/><Relationship Type="http://schemas.openxmlformats.org/officeDocument/2006/relationships/hyperlink" Target="https://www.bauhaus.info/p/10795779" TargetMode="External" Id="rId24"/><Relationship Type="http://schemas.openxmlformats.org/officeDocument/2006/relationships/hyperlink" Target="https://www.bauhaus.info/p/10795810" TargetMode="External" Id="rId25"/><Relationship Type="http://schemas.openxmlformats.org/officeDocument/2006/relationships/hyperlink" Target="https://www.bauhaus.info/p/10801656" TargetMode="External" Id="rId26"/><Relationship Type="http://schemas.openxmlformats.org/officeDocument/2006/relationships/hyperlink" Target="https://www.bauhaus.info/p/21996429" TargetMode="External" Id="rId27"/><Relationship Type="http://schemas.openxmlformats.org/officeDocument/2006/relationships/hyperlink" Target="https://www.bauhaus.info/p/21996960" TargetMode="External" Id="rId28"/><Relationship Type="http://schemas.openxmlformats.org/officeDocument/2006/relationships/hyperlink" Target="https://www.bauhaus.info/p/23670996" TargetMode="External" Id="rId29"/><Relationship Type="http://schemas.openxmlformats.org/officeDocument/2006/relationships/hyperlink" Target="https://www.bauhaus.info/p/23671005" TargetMode="External" Id="rId30"/><Relationship Type="http://schemas.openxmlformats.org/officeDocument/2006/relationships/hyperlink" Target="https://www.bauhaus.info/p/10827348" TargetMode="External" Id="rId31"/><Relationship Type="http://schemas.openxmlformats.org/officeDocument/2006/relationships/hyperlink" Target="https://www.bauhaus.info/p/22487485" TargetMode="External" Id="rId32"/><Relationship Type="http://schemas.openxmlformats.org/officeDocument/2006/relationships/hyperlink" Target="https://www.bauhaus.info/p/10522241" TargetMode="External" Id="rId33"/><Relationship Type="http://schemas.openxmlformats.org/officeDocument/2006/relationships/hyperlink" Target="https://www.bauhaus.info/p/10507637" TargetMode="External" Id="rId34"/><Relationship Type="http://schemas.openxmlformats.org/officeDocument/2006/relationships/hyperlink" Target="https://www.bauhaus.info/p/10520009" TargetMode="External" Id="rId35"/><Relationship Type="http://schemas.openxmlformats.org/officeDocument/2006/relationships/hyperlink" Target="https://www.bauhaus.info/p/10526797" TargetMode="External" Id="rId36"/><Relationship Type="http://schemas.openxmlformats.org/officeDocument/2006/relationships/hyperlink" Target="https://www.bauhaus.info/p/14471013" TargetMode="External" Id="rId37"/><Relationship Type="http://schemas.openxmlformats.org/officeDocument/2006/relationships/hyperlink" Target="https://www.bauhaus.info/p/14610733" TargetMode="External" Id="rId38"/><Relationship Type="http://schemas.openxmlformats.org/officeDocument/2006/relationships/hyperlink" Target="https://www.bauhaus.info/p/29619304" TargetMode="External" Id="rId39"/><Relationship Type="http://schemas.openxmlformats.org/officeDocument/2006/relationships/hyperlink" Target="https://www.bauhaus.info/p/26335957" TargetMode="External" Id="rId40"/><Relationship Type="http://schemas.openxmlformats.org/officeDocument/2006/relationships/hyperlink" Target="https://www.bauhaus.info/p/15073128" TargetMode="External" Id="rId41"/><Relationship Type="http://schemas.openxmlformats.org/officeDocument/2006/relationships/hyperlink" Target="https://www.bauhaus.info/p/22829078" TargetMode="External" Id="rId42"/><Relationship Type="http://schemas.openxmlformats.org/officeDocument/2006/relationships/hyperlink" Target="https://www.bauhaus.info/p/25873454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38" customWidth="1" min="4" max="4"/>
    <col width="11" customWidth="1" min="5" max="5"/>
    <col width="16" customWidth="1" min="6" max="6"/>
    <col width="14" customWidth="1" min="7" max="7"/>
    <col width="10" customWidth="1" min="8" max="8"/>
    <col width="11" customWidth="1" min="9" max="9"/>
    <col width="11" customWidth="1" min="10" max="10"/>
    <col width="11" customWidth="1" min="11" max="11"/>
    <col width="60" customWidth="1" min="12" max="12"/>
    <col width="14" customWidth="1" min="13" max="13"/>
  </cols>
  <sheetData>
    <row r="1">
      <c r="A1" s="1" t="inlineStr">
        <is>
          <t>Bauhaus-Einkaufsliste – CNC-Umbau Proxxon MF 70</t>
        </is>
      </c>
    </row>
    <row r="2">
      <c r="A2" s="2" t="inlineStr">
        <is>
          <t>Preise: Online-Preise von bauhaus.info (Stand Dokument 04: 26.10.2026, Liste erzeugt am 26.10.2026). Im Markt können Preis und Bestand abweichen.</t>
        </is>
      </c>
    </row>
    <row r="3">
      <c r="A3" s="2" t="inlineStr">
        <is>
          <t>Gelbe Felder füllst du aus: Spalte A mit „x“ abhaken, Ist-Preis an der Kasse eintragen. Die Art.-Nr. kannst du im Markt am Infopunkt, in der Bauhaus-App oder auf bauhaus.info eingeben.</t>
        </is>
      </c>
    </row>
    <row r="5" ht="44" customHeight="1">
      <c r="A5" s="3" t="inlineStr">
        <is>
          <t>✓</t>
        </is>
      </c>
      <c r="B5" s="3" t="inlineStr">
        <is>
          <t>Abteilung im Markt</t>
        </is>
      </c>
      <c r="C5" s="3" t="inlineStr">
        <is>
          <t>Wofür</t>
        </is>
      </c>
      <c r="D5" s="3" t="inlineStr">
        <is>
          <t>Bauhaus-Artikel</t>
        </is>
      </c>
      <c r="E5" s="3" t="inlineStr">
        <is>
          <t>Art.-Nr.</t>
        </is>
      </c>
      <c r="F5" s="3" t="inlineStr">
        <is>
          <t>Packungsinhalt</t>
        </is>
      </c>
      <c r="G5" s="3" t="inlineStr">
        <is>
          <t>Bedarf</t>
        </is>
      </c>
      <c r="H5" s="3" t="inlineStr">
        <is>
          <t>Packungen kaufen</t>
        </is>
      </c>
      <c r="I5" s="3" t="inlineStr">
        <is>
          <t>Preis je Packung</t>
        </is>
      </c>
      <c r="J5" s="3" t="inlineStr">
        <is>
          <t>Summe</t>
        </is>
      </c>
      <c r="K5" s="3" t="inlineStr">
        <is>
          <t>Ist-Preis</t>
        </is>
      </c>
      <c r="L5" s="3" t="inlineStr">
        <is>
          <t>Darauf achten / im Markt fragen</t>
        </is>
      </c>
      <c r="M5" s="3" t="inlineStr">
        <is>
          <t>Link</t>
        </is>
      </c>
    </row>
    <row r="6">
      <c r="A6" s="4" t="inlineStr">
        <is>
          <t>x</t>
        </is>
      </c>
      <c r="B6" s="5" t="inlineStr">
        <is>
          <t>1 Elektro / Elektroinstallation</t>
        </is>
      </c>
      <c r="C6" s="5" t="inlineStr">
        <is>
          <t>Netzkabel Steckdose → Kaltgerätebuchse am Schrank</t>
        </is>
      </c>
      <c r="D6" s="5" t="inlineStr">
        <is>
          <t>Hama Netzkabel für Kaltgeräte, Schuko → C13 (90° gewinkelt), 5 m, 3 × 1 mm², schwarz</t>
        </is>
      </c>
      <c r="E6" s="6" t="n">
        <v>31062268</v>
      </c>
      <c r="F6" s="5" t="inlineStr">
        <is>
          <t>1 Stk, 5 m</t>
        </is>
      </c>
      <c r="G6" s="5" t="inlineStr">
        <is>
          <t>1 Stk</t>
        </is>
      </c>
      <c r="H6" s="5" t="n">
        <v>1</v>
      </c>
      <c r="I6" s="7" t="n">
        <v>19.99</v>
      </c>
      <c r="J6" s="7">
        <f>H6*I6</f>
        <v/>
      </c>
      <c r="K6" s="8" t="n"/>
      <c r="L6" s="5" t="inlineStr">
        <is>
          <t>KORREKTUR 22.10.2026: Der frühere Schwaiger-Artikel 20277121 hat C7 + Eurostecker (ohne Schutzleiter) – falsch! Richtig ist Schuko → C13 (3 Löcher, keine Kerbe). Im Markt geht auch jedes kürzere Schuko-C13-Kabel oder ein vorhandenes PC-Kabel.</t>
        </is>
      </c>
      <c r="M6" s="9" t="inlineStr">
        <is>
          <t>bauhaus.info</t>
        </is>
      </c>
    </row>
    <row r="7">
      <c r="A7" s="4" t="inlineStr">
        <is>
          <t>x</t>
        </is>
      </c>
      <c r="B7" s="5" t="inlineStr">
        <is>
          <t>1 Elektro / Elektroinstallation</t>
        </is>
      </c>
      <c r="C7" s="5" t="inlineStr">
        <is>
          <t>Außenleiter L, 1,5 mm², schwarz</t>
        </is>
      </c>
      <c r="D7" s="5" t="inlineStr">
        <is>
          <t>Aderleitung H07V-K 1×1,5 mm², schwarz</t>
        </is>
      </c>
      <c r="E7" s="6" t="n">
        <v>12181202</v>
      </c>
      <c r="F7" s="5" t="inlineStr">
        <is>
          <t>10-m-Ring, feindrähtig</t>
        </is>
      </c>
      <c r="G7" s="5" t="inlineStr">
        <is>
          <t>ca. 5 m</t>
        </is>
      </c>
      <c r="H7" s="5" t="n">
        <v>1</v>
      </c>
      <c r="I7" s="7" t="n">
        <v>5.19</v>
      </c>
      <c r="J7" s="7">
        <f>H7*I7</f>
        <v/>
      </c>
      <c r="K7" s="8" t="n"/>
      <c r="L7" s="5" t="inlineStr">
        <is>
          <t>Feindrähtig (K) – an den Enden Aderendhülsen verwenden.</t>
        </is>
      </c>
      <c r="M7" s="9" t="inlineStr">
        <is>
          <t>bauhaus.info</t>
        </is>
      </c>
    </row>
    <row r="8">
      <c r="A8" s="4" t="inlineStr">
        <is>
          <t>x</t>
        </is>
      </c>
      <c r="B8" s="5" t="inlineStr">
        <is>
          <t>1 Elektro / Elektroinstallation</t>
        </is>
      </c>
      <c r="C8" s="5" t="inlineStr">
        <is>
          <t>Neutralleiter N, 1,5 mm², blau</t>
        </is>
      </c>
      <c r="D8" s="5" t="inlineStr">
        <is>
          <t>Aderleitung H07V-U 1×1,5 mm², blau</t>
        </is>
      </c>
      <c r="E8" s="6" t="n">
        <v>12181226</v>
      </c>
      <c r="F8" s="5" t="inlineStr">
        <is>
          <t>20-m-Ring, eindrähtig</t>
        </is>
      </c>
      <c r="G8" s="5" t="inlineStr">
        <is>
          <t>ca. 5 m</t>
        </is>
      </c>
      <c r="H8" s="5" t="n">
        <v>1</v>
      </c>
      <c r="I8" s="7" t="n">
        <v>7.49</v>
      </c>
      <c r="J8" s="7">
        <f>H8*I8</f>
        <v/>
      </c>
      <c r="K8" s="8" t="n"/>
      <c r="L8" s="5" t="inlineStr">
        <is>
          <t>Feindrähtig (H07V-K) gibt es bei Bauhaus nur in schwarz/rot. Eindrähtig (U) ist für die feste Verdrahtung im Schrank in Ordnung – nicht für bewegte Leitungen. Keine Aderendhülsen auf eindrähtige Leiter.</t>
        </is>
      </c>
      <c r="M8" s="9" t="inlineStr">
        <is>
          <t>bauhaus.info</t>
        </is>
      </c>
    </row>
    <row r="9">
      <c r="A9" s="4" t="inlineStr">
        <is>
          <t>x</t>
        </is>
      </c>
      <c r="B9" s="5" t="inlineStr">
        <is>
          <t>1 Elektro / Elektroinstallation</t>
        </is>
      </c>
      <c r="C9" s="5" t="inlineStr">
        <is>
          <t>Schutzleiter PE, 1,5 mm², grün-gelb</t>
        </is>
      </c>
      <c r="D9" s="5" t="inlineStr">
        <is>
          <t>Aderleitung H07V-U 1×1,5 mm², grün/gelb</t>
        </is>
      </c>
      <c r="E9" s="6" t="n">
        <v>12181240</v>
      </c>
      <c r="F9" s="5" t="inlineStr">
        <is>
          <t>20-m-Ring, eindrähtig</t>
        </is>
      </c>
      <c r="G9" s="5" t="inlineStr">
        <is>
          <t>ca. 5 m</t>
        </is>
      </c>
      <c r="H9" s="5" t="n">
        <v>1</v>
      </c>
      <c r="I9" s="7" t="n">
        <v>7.49</v>
      </c>
      <c r="J9" s="7">
        <f>H9*I9</f>
        <v/>
      </c>
      <c r="K9" s="8" t="n"/>
      <c r="L9" s="5" t="inlineStr">
        <is>
          <t>Wie oben: nur feste Verdrahtung im Schrank.</t>
        </is>
      </c>
      <c r="M9" s="9" t="inlineStr">
        <is>
          <t>bauhaus.info</t>
        </is>
      </c>
    </row>
    <row r="10">
      <c r="A10" s="4" t="inlineStr"/>
      <c r="B10" s="5" t="inlineStr">
        <is>
          <t>1 Elektro / Elektroinstallation</t>
        </is>
      </c>
      <c r="C10" s="5" t="inlineStr">
        <is>
          <t>Hutschiene für Klemmen und Geräte</t>
        </is>
      </c>
      <c r="D10" s="5" t="inlineStr">
        <is>
          <t>DIN-Trageschiene 35 × 7,5 mm, gelocht, 210 mm</t>
        </is>
      </c>
      <c r="E10" s="6" t="n">
        <v>12157487</v>
      </c>
      <c r="F10" s="5" t="inlineStr">
        <is>
          <t>1 Stk, 210 mm</t>
        </is>
      </c>
      <c r="G10" s="5" t="inlineStr">
        <is>
          <t>3 Stück</t>
        </is>
      </c>
      <c r="H10" s="5" t="n">
        <v>3</v>
      </c>
      <c r="I10" s="7" t="n">
        <v>4.79</v>
      </c>
      <c r="J10" s="7">
        <f>H10*I10</f>
        <v/>
      </c>
      <c r="K10" s="8" t="n"/>
      <c r="L10" s="5" t="inlineStr">
        <is>
          <t>Eine Schiene je Ebene (3 Ebenen, Dok. 03). Neues Gehäuse 500 × 400 × 200: Montageplatte ca. 350 mm breit (Schätzung) – falls 210 mm zu kurz, eine 1-m-Schiene nehmen und kürzen.</t>
        </is>
      </c>
      <c r="M10" s="9" t="inlineStr">
        <is>
          <t>bauhaus.info</t>
        </is>
      </c>
    </row>
    <row r="11">
      <c r="A11" s="4" t="inlineStr"/>
      <c r="B11" s="5" t="inlineStr">
        <is>
          <t>1 Elektro / Elektroinstallation</t>
        </is>
      </c>
      <c r="C11" s="5" t="inlineStr">
        <is>
          <t>Steckdose für die Spindel (außen am Schrank)</t>
        </is>
      </c>
      <c r="D11" s="5" t="inlineStr">
        <is>
          <t>Voltomat FLUID Feuchtraum-Steckdose 1-fach, grau, IP44, Aufputz</t>
        </is>
      </c>
      <c r="E11" s="6" t="n">
        <v>12255626</v>
      </c>
      <c r="F11" s="5" t="inlineStr">
        <is>
          <t>1 Stk</t>
        </is>
      </c>
      <c r="G11" s="5" t="inlineStr">
        <is>
          <t>1 Stk</t>
        </is>
      </c>
      <c r="H11" s="5" t="n">
        <v>1</v>
      </c>
      <c r="I11" s="7" t="n">
        <v>5.99</v>
      </c>
      <c r="J11" s="7">
        <f>H11*I11</f>
        <v/>
      </c>
      <c r="K11" s="8" t="n"/>
      <c r="L11" s="5" t="inlineStr">
        <is>
          <t>Ersatz für die Einbausteckdose: wird außen an die Schrankwand geschraubt, Leitung über Kabelverschraubung einführen.</t>
        </is>
      </c>
      <c r="M11" s="9" t="inlineStr">
        <is>
          <t>bauhaus.info</t>
        </is>
      </c>
    </row>
    <row r="12">
      <c r="A12" s="4" t="inlineStr"/>
      <c r="B12" s="5" t="inlineStr">
        <is>
          <t>1 Elektro / Elektroinstallation</t>
        </is>
      </c>
      <c r="C12" s="5" t="inlineStr">
        <is>
          <t>Leitungseinführungen am Schrank</t>
        </is>
      </c>
      <c r="D12" s="5" t="inlineStr">
        <is>
          <t>Kabelverschraubung M16, grau, IP65</t>
        </is>
      </c>
      <c r="E12" s="6" t="n">
        <v>12170048</v>
      </c>
      <c r="F12" s="5" t="inlineStr">
        <is>
          <t>5 Stk</t>
        </is>
      </c>
      <c r="G12" s="5" t="inlineStr">
        <is>
          <t>2 Stk</t>
        </is>
      </c>
      <c r="H12" s="5" t="n">
        <v>1</v>
      </c>
      <c r="I12" s="7" t="n">
        <v>4.49</v>
      </c>
      <c r="J12" s="7">
        <f>H12*I12</f>
        <v/>
      </c>
      <c r="K12" s="8" t="n"/>
      <c r="L12" s="5" t="inlineStr">
        <is>
          <t>Klemmbereich auf der Packung mit dem Außen-Ø deiner Leitungen vergleichen (Messschieber mitnehmen).</t>
        </is>
      </c>
      <c r="M12" s="9" t="inlineStr">
        <is>
          <t>bauhaus.info</t>
        </is>
      </c>
    </row>
    <row r="13">
      <c r="A13" s="4" t="inlineStr"/>
      <c r="B13" s="5" t="inlineStr">
        <is>
          <t>1 Elektro / Elektroinstallation</t>
        </is>
      </c>
      <c r="C13" s="5" t="inlineStr">
        <is>
          <t>Aderendhülsen</t>
        </is>
      </c>
      <c r="D13" s="5" t="inlineStr">
        <is>
          <t>Voltomat Aderendhülsen-Box, isoliert, 0,5–2,5 mm²</t>
        </is>
      </c>
      <c r="E13" s="6" t="n">
        <v>12189091</v>
      </c>
      <c r="F13" s="5" t="inlineStr">
        <is>
          <t>400 Stk in Box</t>
        </is>
      </c>
      <c r="G13" s="5" t="inlineStr">
        <is>
          <t>1 Box</t>
        </is>
      </c>
      <c r="H13" s="5" t="n">
        <v>1</v>
      </c>
      <c r="I13" s="7" t="n">
        <v>17.99</v>
      </c>
      <c r="J13" s="7">
        <f>H13*I13</f>
        <v/>
      </c>
      <c r="K13" s="8" t="n"/>
      <c r="L13" s="5" t="inlineStr">
        <is>
          <t>Enthält keine 0,25 mm² – die für LiYCY 0,25 kommen online dazu (siehe Blatt „Nicht bei Bauhaus“).</t>
        </is>
      </c>
      <c r="M13" s="9" t="inlineStr">
        <is>
          <t>bauhaus.info</t>
        </is>
      </c>
    </row>
    <row r="14">
      <c r="A14" s="4" t="inlineStr"/>
      <c r="B14" s="5" t="inlineStr">
        <is>
          <t>1 Elektro / Elektroinstallation</t>
        </is>
      </c>
      <c r="C14" s="5" t="inlineStr">
        <is>
          <t>Ringkabelschuhe für PE-Anschlüsse</t>
        </is>
      </c>
      <c r="D14" s="5" t="inlineStr">
        <is>
          <t>BAUHAUS Kabelschuhsortiment, isoliert, 200 Stk</t>
        </is>
      </c>
      <c r="E14" s="6" t="n">
        <v>21996605</v>
      </c>
      <c r="F14" s="5" t="inlineStr">
        <is>
          <t>200 Stk gemischt</t>
        </is>
      </c>
      <c r="G14" s="5" t="inlineStr">
        <is>
          <t>1 Set</t>
        </is>
      </c>
      <c r="H14" s="5" t="n">
        <v>1</v>
      </c>
      <c r="I14" s="7" t="n">
        <v>12.95</v>
      </c>
      <c r="J14" s="7">
        <f>H14*I14</f>
        <v/>
      </c>
      <c r="K14" s="8" t="n"/>
      <c r="L14" s="5" t="inlineStr">
        <is>
          <t>Im Set sind u. a. Ringkabelschuhe – auf der Packung prüfen, ob Loch für M4/M5 dabei ist. Wenn nicht: einzelne Ringkabelschuhe am Elektroregal suchen.</t>
        </is>
      </c>
      <c r="M14" s="9" t="inlineStr">
        <is>
          <t>bauhaus.info</t>
        </is>
      </c>
    </row>
    <row r="15">
      <c r="A15" s="4" t="inlineStr"/>
      <c r="B15" s="5" t="inlineStr">
        <is>
          <t>1 Elektro / Elektroinstallation</t>
        </is>
      </c>
      <c r="C15" s="5" t="inlineStr">
        <is>
          <t>Schrumpfschlauch</t>
        </is>
      </c>
      <c r="D15" s="5" t="inlineStr">
        <is>
          <t>Rapid Schrumpfschlauch-Set 2:1, Ø 3–12 mm</t>
        </is>
      </c>
      <c r="E15" s="6" t="n">
        <v>22899178</v>
      </c>
      <c r="F15" s="5" t="inlineStr">
        <is>
          <t>36 Stk</t>
        </is>
      </c>
      <c r="G15" s="5" t="inlineStr">
        <is>
          <t>1 Set</t>
        </is>
      </c>
      <c r="H15" s="5" t="n">
        <v>1</v>
      </c>
      <c r="I15" s="7" t="n">
        <v>7.59</v>
      </c>
      <c r="J15" s="7">
        <f>H15*I15</f>
        <v/>
      </c>
      <c r="K15" s="8" t="n"/>
      <c r="L15" s="5" t="inlineStr"/>
      <c r="M15" s="9" t="inlineStr">
        <is>
          <t>bauhaus.info</t>
        </is>
      </c>
    </row>
    <row r="16">
      <c r="A16" s="4" t="inlineStr">
        <is>
          <t>x</t>
        </is>
      </c>
      <c r="B16" s="5" t="inlineStr">
        <is>
          <t>1 Elektro / Elektroinstallation</t>
        </is>
      </c>
      <c r="C16" s="5" t="inlineStr">
        <is>
          <t>Kabelbinder</t>
        </is>
      </c>
      <c r="D16" s="5" t="inlineStr">
        <is>
          <t>Profi Depot Kabelbinder schwarz, 100 × 2,5 mm</t>
        </is>
      </c>
      <c r="E16" s="6" t="n">
        <v>22557166</v>
      </c>
      <c r="F16" s="5" t="inlineStr">
        <is>
          <t>100 Stk</t>
        </is>
      </c>
      <c r="G16" s="5" t="inlineStr">
        <is>
          <t>1 Pack</t>
        </is>
      </c>
      <c r="H16" s="5" t="n">
        <v>1</v>
      </c>
      <c r="I16" s="7" t="n">
        <v>2.95</v>
      </c>
      <c r="J16" s="7">
        <f>H16*I16</f>
        <v/>
      </c>
      <c r="K16" s="8" t="n"/>
      <c r="L16" s="5" t="inlineStr"/>
      <c r="M16" s="9" t="inlineStr">
        <is>
          <t>bauhaus.info</t>
        </is>
      </c>
    </row>
    <row r="17">
      <c r="A17" s="4" t="inlineStr">
        <is>
          <t>x</t>
        </is>
      </c>
      <c r="B17" s="5" t="inlineStr">
        <is>
          <t>1 Elektro / Elektroinstallation</t>
        </is>
      </c>
      <c r="C17" s="5" t="inlineStr">
        <is>
          <t>Kabelbinder-Klebesockel</t>
        </is>
      </c>
      <c r="D17" s="5" t="inlineStr">
        <is>
          <t>Set Kabelbinder &amp; Klebesockel, weiß, 100 × 2,5 mm</t>
        </is>
      </c>
      <c r="E17" s="6" t="n">
        <v>30146956</v>
      </c>
      <c r="F17" s="5" t="inlineStr">
        <is>
          <t>10 Binder + 10 Sockel</t>
        </is>
      </c>
      <c r="G17" s="5" t="inlineStr">
        <is>
          <t>20 Sockel</t>
        </is>
      </c>
      <c r="H17" s="5" t="n">
        <v>2</v>
      </c>
      <c r="I17" s="7" t="n">
        <v>2.49</v>
      </c>
      <c r="J17" s="7">
        <f>H17*I17</f>
        <v/>
      </c>
      <c r="K17" s="8" t="n"/>
      <c r="L17" s="5" t="inlineStr"/>
      <c r="M17" s="9" t="inlineStr">
        <is>
          <t>bauhaus.info</t>
        </is>
      </c>
    </row>
    <row r="18">
      <c r="A18" s="4" t="inlineStr"/>
      <c r="B18" s="5" t="inlineStr">
        <is>
          <t>1 Elektro / Elektroinstallation</t>
        </is>
      </c>
      <c r="C18" s="5" t="inlineStr">
        <is>
          <t>Kabelschutz für die mitfahrende X-Achsen-Leitung</t>
        </is>
      </c>
      <c r="D18" s="5" t="inlineStr">
        <is>
          <t>Voltomat Kabelorganisierer (Spiralschlauch) 16 mm, schwarz</t>
        </is>
      </c>
      <c r="E18" s="6" t="n">
        <v>12188827</v>
      </c>
      <c r="F18" s="5" t="inlineStr">
        <is>
          <t>1 Stk (Länge laut Shop widersprüchlich: 1,5 m oder 15 m)</t>
        </is>
      </c>
      <c r="G18" s="5" t="inlineStr">
        <is>
          <t>ca. 2 m</t>
        </is>
      </c>
      <c r="H18" s="5" t="n">
        <v>2</v>
      </c>
      <c r="I18" s="7" t="n">
        <v>7.62</v>
      </c>
      <c r="J18" s="7">
        <f>H18*I18</f>
        <v/>
      </c>
      <c r="K18" s="8" t="n"/>
      <c r="L18" s="5" t="inlineStr">
        <is>
          <t>Bündel ca. 13–15 mm (Schätzung), der 8-mm-Schlauch war zu eng. Länge auf der Packung prüfen: bei 15 m reicht 1 Packung. Zur Not 28-mm-Variante 12188834.</t>
        </is>
      </c>
      <c r="M18" s="9" t="inlineStr">
        <is>
          <t>bauhaus.info</t>
        </is>
      </c>
    </row>
    <row r="19">
      <c r="A19" s="4" t="inlineStr">
        <is>
          <t>x</t>
        </is>
      </c>
      <c r="B19" s="5" t="inlineStr">
        <is>
          <t>1 Elektro / Elektroinstallation</t>
        </is>
      </c>
      <c r="C19" s="5" t="inlineStr">
        <is>
          <t>Isolierband</t>
        </is>
      </c>
      <c r="D19" s="5" t="inlineStr">
        <is>
          <t>Isolierband schwarz, 10 m</t>
        </is>
      </c>
      <c r="E19" s="6" t="n">
        <v>25323320</v>
      </c>
      <c r="F19" s="5" t="inlineStr">
        <is>
          <t>1 Rolle</t>
        </is>
      </c>
      <c r="G19" s="5" t="inlineStr">
        <is>
          <t>1 Rolle</t>
        </is>
      </c>
      <c r="H19" s="5" t="n">
        <v>1</v>
      </c>
      <c r="I19" s="7" t="n">
        <v>2.19</v>
      </c>
      <c r="J19" s="7">
        <f>H19*I19</f>
        <v/>
      </c>
      <c r="K19" s="8" t="n"/>
      <c r="L19" s="5" t="inlineStr"/>
      <c r="M19" s="9" t="inlineStr">
        <is>
          <t>bauhaus.info</t>
        </is>
      </c>
    </row>
    <row r="20">
      <c r="A20" s="4" t="inlineStr"/>
      <c r="B20" s="5" t="inlineStr">
        <is>
          <t>1 Elektro / Elektroinstallation</t>
        </is>
      </c>
      <c r="C20" s="5" t="inlineStr">
        <is>
          <t>Feinsicherung T 1 A (Steuerkreis)</t>
        </is>
      </c>
      <c r="D20" s="5" t="inlineStr">
        <is>
          <t>Profi Depot Feinsicherung 5 × 20 mm, T 1 A, 250 V</t>
        </is>
      </c>
      <c r="E20" s="6" t="n">
        <v>22125606</v>
      </c>
      <c r="F20" s="5" t="inlineStr">
        <is>
          <t>4 Stk</t>
        </is>
      </c>
      <c r="G20" s="5" t="inlineStr">
        <is>
          <t>1 Pack</t>
        </is>
      </c>
      <c r="H20" s="5" t="n">
        <v>1</v>
      </c>
      <c r="I20" s="7" t="n">
        <v>2.95</v>
      </c>
      <c r="J20" s="7">
        <f>H20*I20</f>
        <v/>
      </c>
      <c r="K20" s="8" t="n"/>
      <c r="L20" s="5" t="inlineStr">
        <is>
          <t>Auf „T“ (träge) achten, nicht „F“ (flink).</t>
        </is>
      </c>
      <c r="M20" s="9" t="inlineStr">
        <is>
          <t>bauhaus.info</t>
        </is>
      </c>
    </row>
    <row r="21">
      <c r="A21" s="4" t="inlineStr"/>
      <c r="B21" s="5" t="inlineStr">
        <is>
          <t>1 Elektro / Elektroinstallation</t>
        </is>
      </c>
      <c r="C21" s="5" t="inlineStr">
        <is>
          <t>Feinsicherung T 4 A</t>
        </is>
      </c>
      <c r="D21" s="5" t="inlineStr">
        <is>
          <t>Profi Depot Feinsicherung 5 × 20 mm, T 4 A, 250 V</t>
        </is>
      </c>
      <c r="E21" s="6" t="n">
        <v>22125615</v>
      </c>
      <c r="F21" s="5" t="inlineStr">
        <is>
          <t>4 Stk</t>
        </is>
      </c>
      <c r="G21" s="5" t="inlineStr">
        <is>
          <t>1 Pack</t>
        </is>
      </c>
      <c r="H21" s="5" t="n">
        <v>1</v>
      </c>
      <c r="I21" s="7" t="n">
        <v>2.95</v>
      </c>
      <c r="J21" s="7">
        <f>H21*I21</f>
        <v/>
      </c>
      <c r="K21" s="8" t="n"/>
      <c r="L21" s="5" t="inlineStr">
        <is>
          <t>Wie oben: träge.</t>
        </is>
      </c>
      <c r="M21" s="9" t="inlineStr">
        <is>
          <t>bauhaus.info</t>
        </is>
      </c>
    </row>
    <row r="22">
      <c r="A22" s="4" t="inlineStr"/>
      <c r="B22" s="5" t="inlineStr">
        <is>
          <t>1 Elektro / Elektroinstallation</t>
        </is>
      </c>
      <c r="C22" s="5" t="inlineStr">
        <is>
          <t>Feinsicherung T 6,3 A</t>
        </is>
      </c>
      <c r="D22" s="5" t="inlineStr">
        <is>
          <t>Profi Depot Feinsicherung 5 × 20 mm, T 6,3 A, 250 V</t>
        </is>
      </c>
      <c r="E22" s="6" t="n">
        <v>22126113</v>
      </c>
      <c r="F22" s="5" t="inlineStr">
        <is>
          <t>4 Stk</t>
        </is>
      </c>
      <c r="G22" s="5" t="inlineStr">
        <is>
          <t>1 Pack</t>
        </is>
      </c>
      <c r="H22" s="5" t="n">
        <v>1</v>
      </c>
      <c r="I22" s="7" t="n">
        <v>2.95</v>
      </c>
      <c r="J22" s="7">
        <f>H22*I22</f>
        <v/>
      </c>
      <c r="K22" s="8" t="n"/>
      <c r="L22" s="5" t="inlineStr">
        <is>
          <t>Wie oben: träge.</t>
        </is>
      </c>
      <c r="M22" s="9" t="inlineStr">
        <is>
          <t>bauhaus.info</t>
        </is>
      </c>
    </row>
    <row r="23">
      <c r="A23" s="4" t="inlineStr"/>
      <c r="B23" s="5" t="inlineStr">
        <is>
          <t>1 Elektro / Elektroinstallation</t>
        </is>
      </c>
      <c r="C23" s="5" t="inlineStr">
        <is>
          <t>Arbeitsraum-Beleuchtung 24 V</t>
        </is>
      </c>
      <c r="D23" s="5" t="inlineStr">
        <is>
          <t>Paulmann LED-Band Power Strip 24 V, neutralweiß 4000 K, 3 m (mit Netzteil)</t>
        </is>
      </c>
      <c r="E23" s="6" t="n">
        <v>26787619</v>
      </c>
      <c r="F23" s="5" t="inlineStr">
        <is>
          <t>1 Set, 3 m</t>
        </is>
      </c>
      <c r="G23" s="5" t="inlineStr">
        <is>
          <t>ca. 0,5 m</t>
        </is>
      </c>
      <c r="H23" s="5" t="n">
        <v>1</v>
      </c>
      <c r="I23" s="7" t="n">
        <v>37.89</v>
      </c>
      <c r="J23" s="7">
        <f>H23*I23</f>
        <v/>
      </c>
      <c r="K23" s="8" t="n"/>
      <c r="L23" s="5" t="inlineStr">
        <is>
          <t>Netzteil im Set brauchst du nicht (Versorgung aus HDR-30-24). Günstiger: warmweiß 1,5 m, Art.-Nr. 26808945, 24,89 €. Leistung pro Meter auf der Packung notieren – das HDR-30 hat nur 1,5 A.</t>
        </is>
      </c>
      <c r="M23" s="9" t="inlineStr">
        <is>
          <t>bauhaus.info</t>
        </is>
      </c>
    </row>
    <row r="24">
      <c r="A24" s="4" t="inlineStr"/>
      <c r="B24" s="5" t="inlineStr">
        <is>
          <t>1 Elektro / Elektroinstallation</t>
        </is>
      </c>
      <c r="C24" s="5" t="inlineStr">
        <is>
          <t>Verdrahtungskanal im Schrank</t>
        </is>
      </c>
      <c r="D24" s="5" t="inlineStr">
        <is>
          <t>Gewiss Verdrahtungskanal geschlitzt, 37,5 × 37,5 mm, 2 m, mit Deckel</t>
        </is>
      </c>
      <c r="E24" s="6" t="n">
        <v>20748724</v>
      </c>
      <c r="F24" s="5" t="inlineStr">
        <is>
          <t>1 Stk, 2 m</t>
        </is>
      </c>
      <c r="G24" s="5" t="inlineStr">
        <is>
          <t>ca. 1 m</t>
        </is>
      </c>
      <c r="H24" s="5" t="n">
        <v>1</v>
      </c>
      <c r="I24" s="7" t="n">
        <v>14.75</v>
      </c>
      <c r="J24" s="7">
        <f>H24*I24</f>
        <v/>
      </c>
      <c r="K24" s="8" t="n"/>
      <c r="L24" s="5" t="inlineStr">
        <is>
          <t>Lässt sich mit Säge kürzen.</t>
        </is>
      </c>
      <c r="M24" s="9" t="inlineStr">
        <is>
          <t>bauhaus.info</t>
        </is>
      </c>
    </row>
    <row r="25">
      <c r="A25" s="4" t="inlineStr"/>
      <c r="B25" s="5" t="inlineStr">
        <is>
          <t>1 Elektro / Elektroinstallation</t>
        </is>
      </c>
      <c r="C25" s="5" t="inlineStr">
        <is>
          <t>Lötzinn</t>
        </is>
      </c>
      <c r="D25" s="5" t="inlineStr">
        <is>
          <t>Weller Elektroniklot bleifrei, 1 mm, 100 g</t>
        </is>
      </c>
      <c r="E25" s="6" t="n">
        <v>30448874</v>
      </c>
      <c r="F25" s="5" t="inlineStr">
        <is>
          <t>100 g</t>
        </is>
      </c>
      <c r="G25" s="5" t="inlineStr">
        <is>
          <t>1 Rolle</t>
        </is>
      </c>
      <c r="H25" s="5" t="n">
        <v>1</v>
      </c>
      <c r="I25" s="7" t="n">
        <v>12.95</v>
      </c>
      <c r="J25" s="7">
        <f>H25*I25</f>
        <v/>
      </c>
      <c r="K25" s="8" t="n"/>
      <c r="L25" s="5" t="inlineStr"/>
      <c r="M25" s="9" t="inlineStr">
        <is>
          <t>bauhaus.info</t>
        </is>
      </c>
    </row>
    <row r="26">
      <c r="A26" s="4" t="inlineStr"/>
      <c r="B26" s="5" t="inlineStr">
        <is>
          <t>1 Elektro / Elektroinstallation</t>
        </is>
      </c>
      <c r="C26" s="5" t="inlineStr">
        <is>
          <t>USB-Kabel PC ↔ Arduino</t>
        </is>
      </c>
      <c r="D26" s="5" t="inlineStr">
        <is>
          <t>Hama Verbindungskabel USB-A auf USB-B, 1,5 m</t>
        </is>
      </c>
      <c r="E26" s="6" t="n">
        <v>30568745</v>
      </c>
      <c r="F26" s="5" t="inlineStr">
        <is>
          <t>1 Stk</t>
        </is>
      </c>
      <c r="G26" s="5" t="inlineStr">
        <is>
          <t>2 Stk</t>
        </is>
      </c>
      <c r="H26" s="5" t="n">
        <v>2</v>
      </c>
      <c r="I26" s="7" t="n">
        <v>4.99</v>
      </c>
      <c r="J26" s="7">
        <f>H26*I26</f>
        <v/>
      </c>
      <c r="K26" s="8" t="n"/>
      <c r="L26" s="5" t="inlineStr">
        <is>
          <t>Gibt es in der Multimedia-Abteilung. Eins als Reserve.</t>
        </is>
      </c>
      <c r="M26" s="9" t="inlineStr">
        <is>
          <t>bauhaus.info</t>
        </is>
      </c>
    </row>
    <row r="27">
      <c r="A27" s="4" t="inlineStr"/>
      <c r="B27" s="5" t="inlineStr">
        <is>
          <t>2 Schrauben &amp; Eisenwaren</t>
        </is>
      </c>
      <c r="C27" s="5" t="inlineStr">
        <is>
          <t>Zylinderschrauben M3 × 10</t>
        </is>
      </c>
      <c r="D27" s="5" t="inlineStr">
        <is>
          <t>Suki Zylinderschraube DIN 912 M3 × 10, Innensechskant, verzinkt 8.8</t>
        </is>
      </c>
      <c r="E27" s="6" t="n">
        <v>10795755</v>
      </c>
      <c r="F27" s="5" t="inlineStr">
        <is>
          <t>16 Stk</t>
        </is>
      </c>
      <c r="G27" s="5" t="inlineStr">
        <is>
          <t>ca. 12 Stk</t>
        </is>
      </c>
      <c r="H27" s="5" t="n">
        <v>1</v>
      </c>
      <c r="I27" s="7" t="n">
        <v>3.65</v>
      </c>
      <c r="J27" s="7">
        <f>H27*I27</f>
        <v/>
      </c>
      <c r="K27" s="8" t="n"/>
      <c r="L27" s="5" t="inlineStr">
        <is>
          <t>Edelstahl (A2) gibt es bei Bauhaus in DIN 912 für M3–M5 nicht. Verzinkt 8.8 ist im trockenen Innenraum völlig in Ordnung und sogar fester.</t>
        </is>
      </c>
      <c r="M27" s="9" t="inlineStr">
        <is>
          <t>bauhaus.info</t>
        </is>
      </c>
    </row>
    <row r="28">
      <c r="A28" s="4" t="inlineStr"/>
      <c r="B28" s="5" t="inlineStr">
        <is>
          <t>2 Schrauben &amp; Eisenwaren</t>
        </is>
      </c>
      <c r="C28" s="5" t="inlineStr">
        <is>
          <t>Zylinderschrauben M3 × 16</t>
        </is>
      </c>
      <c r="D28" s="5" t="inlineStr">
        <is>
          <t>Zylinderschraube DIN 912 M3 × 16, Innensechskant, verzinkt 8.8</t>
        </is>
      </c>
      <c r="E28" s="6" t="n">
        <v>21307483</v>
      </c>
      <c r="F28" s="5" t="inlineStr">
        <is>
          <t>10 Stk</t>
        </is>
      </c>
      <c r="G28" s="5" t="inlineStr">
        <is>
          <t>ca. 8 Stk</t>
        </is>
      </c>
      <c r="H28" s="5" t="n">
        <v>1</v>
      </c>
      <c r="I28" s="7" t="n">
        <v>2.19</v>
      </c>
      <c r="J28" s="7">
        <f>H28*I28</f>
        <v/>
      </c>
      <c r="K28" s="8" t="n"/>
      <c r="L28" s="5" t="inlineStr"/>
      <c r="M28" s="9" t="inlineStr">
        <is>
          <t>bauhaus.info</t>
        </is>
      </c>
    </row>
    <row r="29">
      <c r="A29" s="4" t="inlineStr"/>
      <c r="B29" s="5" t="inlineStr">
        <is>
          <t>2 Schrauben &amp; Eisenwaren</t>
        </is>
      </c>
      <c r="C29" s="5" t="inlineStr">
        <is>
          <t>Zylinderschrauben M4 × 16</t>
        </is>
      </c>
      <c r="D29" s="5" t="inlineStr">
        <is>
          <t>Suki Zylinderschraube DIN 912 M4 × 16, Innensechskant, verzinkt 8.8</t>
        </is>
      </c>
      <c r="E29" s="6" t="n">
        <v>10795779</v>
      </c>
      <c r="F29" s="5" t="inlineStr">
        <is>
          <t>12 Stk</t>
        </is>
      </c>
      <c r="G29" s="5" t="inlineStr">
        <is>
          <t>ca. 12 Stk</t>
        </is>
      </c>
      <c r="H29" s="5" t="n">
        <v>1</v>
      </c>
      <c r="I29" s="7" t="n">
        <v>3.1</v>
      </c>
      <c r="J29" s="7">
        <f>H29*I29</f>
        <v/>
      </c>
      <c r="K29" s="8" t="n"/>
      <c r="L29" s="5" t="inlineStr">
        <is>
          <t>Am Regal hängen meist auch M4 × 10 und M4 × 20 – bei Bedarf mitnehmen.</t>
        </is>
      </c>
      <c r="M29" s="9" t="inlineStr">
        <is>
          <t>bauhaus.info</t>
        </is>
      </c>
    </row>
    <row r="30">
      <c r="A30" s="4" t="inlineStr"/>
      <c r="B30" s="5" t="inlineStr">
        <is>
          <t>2 Schrauben &amp; Eisenwaren</t>
        </is>
      </c>
      <c r="C30" s="5" t="inlineStr">
        <is>
          <t>Zylinderschrauben M5 × 20</t>
        </is>
      </c>
      <c r="D30" s="5" t="inlineStr">
        <is>
          <t>Zylinderschraube DIN 912 M5 × 20, Innensechskant, verzinkt 8.8</t>
        </is>
      </c>
      <c r="E30" s="6" t="n">
        <v>10795810</v>
      </c>
      <c r="F30" s="5" t="inlineStr">
        <is>
          <t>12 Stk</t>
        </is>
      </c>
      <c r="G30" s="5" t="inlineStr">
        <is>
          <t>ca. 8 Stk</t>
        </is>
      </c>
      <c r="H30" s="5" t="n">
        <v>1</v>
      </c>
      <c r="I30" s="7" t="n">
        <v>4.6</v>
      </c>
      <c r="J30" s="7">
        <f>H30*I30</f>
        <v/>
      </c>
      <c r="K30" s="8" t="n"/>
      <c r="L30" s="5" t="inlineStr">
        <is>
          <t>M5 × 10 direkt daneben im Regal suchen, falls du kürzere brauchst.</t>
        </is>
      </c>
      <c r="M30" s="9" t="inlineStr">
        <is>
          <t>bauhaus.info</t>
        </is>
      </c>
    </row>
    <row r="31">
      <c r="A31" s="4" t="inlineStr"/>
      <c r="B31" s="5" t="inlineStr">
        <is>
          <t>2 Schrauben &amp; Eisenwaren</t>
        </is>
      </c>
      <c r="C31" s="5" t="inlineStr">
        <is>
          <t>Senkschrauben M4 (Aufspannplatte, Anschläge)</t>
        </is>
      </c>
      <c r="D31" s="5" t="inlineStr">
        <is>
          <t>Stabilit Senkkopfschraube DIN 7991 M4 × 16, Innensechskant, verzinkt 8.8</t>
        </is>
      </c>
      <c r="E31" s="6" t="n">
        <v>10801656</v>
      </c>
      <c r="F31" s="5" t="inlineStr">
        <is>
          <t>12 Stk</t>
        </is>
      </c>
      <c r="G31" s="5" t="inlineStr">
        <is>
          <t>ca. 10 Stk</t>
        </is>
      </c>
      <c r="H31" s="5" t="n">
        <v>1</v>
      </c>
      <c r="I31" s="7" t="n">
        <v>4.9</v>
      </c>
      <c r="J31" s="7">
        <f>H31*I31</f>
        <v/>
      </c>
      <c r="K31" s="8" t="n"/>
      <c r="L31" s="5" t="inlineStr">
        <is>
          <t>Größere Menge: Profi Depot DIN 7991 M4 × 20, 100 Stk, Art.-Nr. 20081793, 8,05 €.</t>
        </is>
      </c>
      <c r="M31" s="9" t="inlineStr">
        <is>
          <t>bauhaus.info</t>
        </is>
      </c>
    </row>
    <row r="32">
      <c r="A32" s="4" t="inlineStr"/>
      <c r="B32" s="5" t="inlineStr">
        <is>
          <t>2 Schrauben &amp; Eisenwaren</t>
        </is>
      </c>
      <c r="C32" s="5" t="inlineStr">
        <is>
          <t>Muttern M3/M4/M5</t>
        </is>
      </c>
      <c r="D32" s="5" t="inlineStr">
        <is>
          <t>BAUHAUS Mutternsortiment, verzinkt (u. a. 30 × M3, 25 × M4, 50 × M5)</t>
        </is>
      </c>
      <c r="E32" s="6" t="n">
        <v>21996429</v>
      </c>
      <c r="F32" s="5" t="inlineStr">
        <is>
          <t>195 Stk in Box</t>
        </is>
      </c>
      <c r="G32" s="5" t="inlineStr">
        <is>
          <t>1 Box</t>
        </is>
      </c>
      <c r="H32" s="5" t="n">
        <v>1</v>
      </c>
      <c r="I32" s="7" t="n">
        <v>12.25</v>
      </c>
      <c r="J32" s="7">
        <f>H32*I32</f>
        <v/>
      </c>
      <c r="K32" s="8" t="n"/>
      <c r="L32" s="5" t="inlineStr">
        <is>
          <t>Wenn du schon Muttern hast: lieber Kleinpackungen M3/M4 am Schraubenregal.</t>
        </is>
      </c>
      <c r="M32" s="9" t="inlineStr">
        <is>
          <t>bauhaus.info</t>
        </is>
      </c>
    </row>
    <row r="33">
      <c r="A33" s="4" t="inlineStr"/>
      <c r="B33" s="5" t="inlineStr">
        <is>
          <t>2 Schrauben &amp; Eisenwaren</t>
        </is>
      </c>
      <c r="C33" s="5" t="inlineStr">
        <is>
          <t>Unterlegscheiben M3/M4/M5</t>
        </is>
      </c>
      <c r="D33" s="5" t="inlineStr">
        <is>
          <t>BAUHAUS Beilagscheiben-Sortiment, verzinkt (150 × M3, 150 × M4, 200 × M5 …)</t>
        </is>
      </c>
      <c r="E33" s="6" t="n">
        <v>21996960</v>
      </c>
      <c r="F33" s="5" t="inlineStr">
        <is>
          <t>900 Stk in Box</t>
        </is>
      </c>
      <c r="G33" s="5" t="inlineStr">
        <is>
          <t>1 Box</t>
        </is>
      </c>
      <c r="H33" s="5" t="n">
        <v>1</v>
      </c>
      <c r="I33" s="7" t="n">
        <v>17.9</v>
      </c>
      <c r="J33" s="7">
        <f>H33*I33</f>
        <v/>
      </c>
      <c r="K33" s="8" t="n"/>
      <c r="L33" s="5" t="inlineStr">
        <is>
          <t>Wie oben – Kleinpackungen sind günstiger, wenn du nur wenige brauchst.</t>
        </is>
      </c>
      <c r="M33" s="9" t="inlineStr">
        <is>
          <t>bauhaus.info</t>
        </is>
      </c>
    </row>
    <row r="34">
      <c r="A34" s="4" t="inlineStr"/>
      <c r="B34" s="5" t="inlineStr">
        <is>
          <t>2 Schrauben &amp; Eisenwaren</t>
        </is>
      </c>
      <c r="C34" s="5" t="inlineStr">
        <is>
          <t>Fächerscheiben M4 (PE-Anschluss)</t>
        </is>
      </c>
      <c r="D34" s="5" t="inlineStr">
        <is>
          <t>Marinetech Fächerscheibe DIN 6798 A, Ø 4,3 mm, Edelstahl A4</t>
        </is>
      </c>
      <c r="E34" s="6" t="n">
        <v>23670996</v>
      </c>
      <c r="F34" s="5" t="inlineStr">
        <is>
          <t>Einzelstück</t>
        </is>
      </c>
      <c r="G34" s="5" t="inlineStr">
        <is>
          <t>10 Stk</t>
        </is>
      </c>
      <c r="H34" s="5" t="n">
        <v>10</v>
      </c>
      <c r="I34" s="7" t="n">
        <v>0.1</v>
      </c>
      <c r="J34" s="7">
        <f>H34*I34</f>
        <v/>
      </c>
      <c r="K34" s="8" t="n"/>
      <c r="L34" s="5" t="inlineStr">
        <is>
          <t>Wird einzeln verkauft – Stückzahl an der Kasse.</t>
        </is>
      </c>
      <c r="M34" s="9" t="inlineStr">
        <is>
          <t>bauhaus.info</t>
        </is>
      </c>
    </row>
    <row r="35">
      <c r="A35" s="4" t="inlineStr"/>
      <c r="B35" s="5" t="inlineStr">
        <is>
          <t>2 Schrauben &amp; Eisenwaren</t>
        </is>
      </c>
      <c r="C35" s="5" t="inlineStr">
        <is>
          <t>Fächerscheiben M5 (PE-Anschluss)</t>
        </is>
      </c>
      <c r="D35" s="5" t="inlineStr">
        <is>
          <t>Marinetech Fächerscheibe DIN 6798 A, Ø 5,3 mm, Edelstahl A4</t>
        </is>
      </c>
      <c r="E35" s="6" t="n">
        <v>23671005</v>
      </c>
      <c r="F35" s="5" t="inlineStr">
        <is>
          <t>Einzelstück</t>
        </is>
      </c>
      <c r="G35" s="5" t="inlineStr">
        <is>
          <t>10 Stk</t>
        </is>
      </c>
      <c r="H35" s="5" t="n">
        <v>10</v>
      </c>
      <c r="I35" s="7" t="n">
        <v>0.12</v>
      </c>
      <c r="J35" s="7">
        <f>H35*I35</f>
        <v/>
      </c>
      <c r="K35" s="8" t="n"/>
      <c r="L35" s="5" t="inlineStr">
        <is>
          <t>Wie oben.</t>
        </is>
      </c>
      <c r="M35" s="9" t="inlineStr">
        <is>
          <t>bauhaus.info</t>
        </is>
      </c>
    </row>
    <row r="36">
      <c r="A36" s="4" t="inlineStr"/>
      <c r="B36" s="5" t="inlineStr">
        <is>
          <t>2 Schrauben &amp; Eisenwaren</t>
        </is>
      </c>
      <c r="C36" s="5" t="inlineStr">
        <is>
          <t>Ersatz für Abstandsbolzen M3</t>
        </is>
      </c>
      <c r="D36" s="5" t="inlineStr">
        <is>
          <t>Profi Depot Gewindestange M3, 1 m, verzinkt</t>
        </is>
      </c>
      <c r="E36" s="6" t="n">
        <v>10827348</v>
      </c>
      <c r="F36" s="5" t="inlineStr">
        <is>
          <t>1 Stk, 1 m</t>
        </is>
      </c>
      <c r="G36" s="5" t="inlineStr">
        <is>
          <t>1 Stk</t>
        </is>
      </c>
      <c r="H36" s="5" t="n">
        <v>1</v>
      </c>
      <c r="I36" s="7" t="n">
        <v>0.85</v>
      </c>
      <c r="J36" s="7">
        <f>H36*I36</f>
        <v/>
      </c>
      <c r="K36" s="8" t="n"/>
      <c r="L36" s="5" t="inlineStr">
        <is>
          <t>Abstandsbolzen hat Bauhaus nicht. Stange auf Länge sägen und mit Muttern kontern.</t>
        </is>
      </c>
      <c r="M36" s="9" t="inlineStr">
        <is>
          <t>bauhaus.info</t>
        </is>
      </c>
    </row>
    <row r="37">
      <c r="A37" s="4" t="inlineStr"/>
      <c r="B37" s="5" t="inlineStr">
        <is>
          <t>2 Schrauben &amp; Eisenwaren</t>
        </is>
      </c>
      <c r="C37" s="5" t="inlineStr">
        <is>
          <t>Gerätefüße für den Schaltschrank</t>
        </is>
      </c>
      <c r="D37" s="5" t="inlineStr">
        <is>
          <t>Stabilit Anti-Vibration-Pad, Gummi, schwarz, 70 × 35 mm</t>
        </is>
      </c>
      <c r="E37" s="6" t="n">
        <v>22487485</v>
      </c>
      <c r="F37" s="5" t="inlineStr">
        <is>
          <t>2 Stk</t>
        </is>
      </c>
      <c r="G37" s="5" t="inlineStr">
        <is>
          <t>4 Stk</t>
        </is>
      </c>
      <c r="H37" s="5" t="n">
        <v>2</v>
      </c>
      <c r="I37" s="7" t="n">
        <v>6.25</v>
      </c>
      <c r="J37" s="7">
        <f>H37*I37</f>
        <v/>
      </c>
      <c r="K37" s="8" t="n"/>
      <c r="L37" s="5" t="inlineStr">
        <is>
          <t>Ist eher groß – alternativ im Markt nach selbstklebenden Gummipuffern (Möbel-/Filzgleiter-Regal) schauen.</t>
        </is>
      </c>
      <c r="M37" s="9" t="inlineStr">
        <is>
          <t>bauhaus.info</t>
        </is>
      </c>
    </row>
    <row r="38">
      <c r="A38" s="4" t="inlineStr"/>
      <c r="B38" s="5" t="inlineStr">
        <is>
          <t>3 Metall- &amp; Kunststoffprofile</t>
        </is>
      </c>
      <c r="C38" s="5" t="inlineStr">
        <is>
          <t>Anschlagkanten Aufspannplatte</t>
        </is>
      </c>
      <c r="D38" s="5" t="inlineStr">
        <is>
          <t>Kantoflex Winkelprofil Alu 15,5 × 15,5 × 1,5 mm, 1 m</t>
        </is>
      </c>
      <c r="E38" s="6" t="n">
        <v>10522241</v>
      </c>
      <c r="F38" s="5" t="inlineStr">
        <is>
          <t>1 Stk, 1 m</t>
        </is>
      </c>
      <c r="G38" s="5" t="inlineStr">
        <is>
          <t>1 Stk</t>
        </is>
      </c>
      <c r="H38" s="5" t="n">
        <v>1</v>
      </c>
      <c r="I38" s="7" t="n">
        <v>2.95</v>
      </c>
      <c r="J38" s="7">
        <f>H38*I38</f>
        <v/>
      </c>
      <c r="K38" s="8" t="n"/>
      <c r="L38" s="5" t="inlineStr">
        <is>
          <t>1,5 statt 2 mm Wandstärke – reicht für Anschläge.</t>
        </is>
      </c>
      <c r="M38" s="9" t="inlineStr">
        <is>
          <t>bauhaus.info</t>
        </is>
      </c>
    </row>
    <row r="39">
      <c r="A39" s="4" t="inlineStr"/>
      <c r="B39" s="5" t="inlineStr">
        <is>
          <t>3 Metall- &amp; Kunststoffprofile</t>
        </is>
      </c>
      <c r="C39" s="5" t="inlineStr">
        <is>
          <t>Endschalterhalter, Schaltnocken, Kamerahalter</t>
        </is>
      </c>
      <c r="D39" s="5" t="inlineStr">
        <is>
          <t>Kantoflex Winkelprofil Alu 20 × 20 × 1,5 mm, eloxiert, 2 m</t>
        </is>
      </c>
      <c r="E39" s="6" t="n">
        <v>10507637</v>
      </c>
      <c r="F39" s="5" t="inlineStr">
        <is>
          <t>1 Stk, 2 m</t>
        </is>
      </c>
      <c r="G39" s="5" t="inlineStr">
        <is>
          <t>ca. 1 m</t>
        </is>
      </c>
      <c r="H39" s="5" t="n">
        <v>1</v>
      </c>
      <c r="I39" s="7" t="n">
        <v>6.65</v>
      </c>
      <c r="J39" s="7">
        <f>H39*I39</f>
        <v/>
      </c>
      <c r="K39" s="8" t="n"/>
      <c r="L39" s="5" t="inlineStr">
        <is>
          <t>Gibt es nur als 2-m-Stange; im Markt nach 1-m-Variante fragen.</t>
        </is>
      </c>
      <c r="M39" s="9" t="inlineStr">
        <is>
          <t>bauhaus.info</t>
        </is>
      </c>
    </row>
    <row r="40">
      <c r="A40" s="4" t="inlineStr"/>
      <c r="B40" s="5" t="inlineStr">
        <is>
          <t>3 Metall- &amp; Kunststoffprofile</t>
        </is>
      </c>
      <c r="C40" s="5" t="inlineStr">
        <is>
          <t>Kamerahalter</t>
        </is>
      </c>
      <c r="D40" s="5" t="inlineStr">
        <is>
          <t>Kantoflex Flachprofil Alu 20 × 5 mm, eloxiert, 1 m</t>
        </is>
      </c>
      <c r="E40" s="6" t="n">
        <v>10520009</v>
      </c>
      <c r="F40" s="5" t="inlineStr">
        <is>
          <t>1 Stk, 1 m</t>
        </is>
      </c>
      <c r="G40" s="5" t="inlineStr">
        <is>
          <t>1 Stk</t>
        </is>
      </c>
      <c r="H40" s="5" t="n">
        <v>1</v>
      </c>
      <c r="I40" s="7" t="n">
        <v>5.8</v>
      </c>
      <c r="J40" s="7">
        <f>H40*I40</f>
        <v/>
      </c>
      <c r="K40" s="8" t="n"/>
      <c r="L40" s="5" t="inlineStr"/>
      <c r="M40" s="9" t="inlineStr">
        <is>
          <t>bauhaus.info</t>
        </is>
      </c>
    </row>
    <row r="41">
      <c r="A41" s="4" t="inlineStr"/>
      <c r="B41" s="5" t="inlineStr">
        <is>
          <t>3 Metall- &amp; Kunststoffprofile</t>
        </is>
      </c>
      <c r="C41" s="5" t="inlineStr">
        <is>
          <t>Selbstbau-Nutensteine</t>
        </is>
      </c>
      <c r="D41" s="5" t="inlineStr">
        <is>
          <t>Kantoflex Flachprofil Stahl blank 10 × 4 mm, 1 m</t>
        </is>
      </c>
      <c r="E41" s="6" t="n">
        <v>10526797</v>
      </c>
      <c r="F41" s="5" t="inlineStr">
        <is>
          <t>1 Stk, 1 m</t>
        </is>
      </c>
      <c r="G41" s="5" t="inlineStr">
        <is>
          <t>1 Stk</t>
        </is>
      </c>
      <c r="H41" s="5" t="n">
        <v>1</v>
      </c>
      <c r="I41" s="7" t="n">
        <v>2.65</v>
      </c>
      <c r="J41" s="7">
        <f>H41*I41</f>
        <v/>
      </c>
      <c r="K41" s="8" t="n"/>
      <c r="L41" s="5" t="inlineStr">
        <is>
          <t>Vorher die T-Nut der MF 70 nachmessen (12 × 6 × 5 mm).</t>
        </is>
      </c>
      <c r="M41" s="9" t="inlineStr">
        <is>
          <t>bauhaus.info</t>
        </is>
      </c>
    </row>
    <row r="42">
      <c r="A42" s="4" t="inlineStr"/>
      <c r="B42" s="5" t="inlineStr">
        <is>
          <t>4 Holz &amp; Zuschnitt</t>
        </is>
      </c>
      <c r="C42" s="5" t="inlineStr">
        <is>
          <t>Opferplatte / Unterbau Aufspannplatte</t>
        </is>
      </c>
      <c r="D42" s="5" t="inlineStr">
        <is>
          <t>MDF-Platte nach Maß, natur, 12 mm (Preis je m²)</t>
        </is>
      </c>
      <c r="E42" s="6" t="n">
        <v>14471013</v>
      </c>
      <c r="F42" s="5" t="inlineStr">
        <is>
          <t>Zuschnitt nach Maß</t>
        </is>
      </c>
      <c r="G42" s="5" t="inlineStr">
        <is>
          <t>2 × 250 × 120 mm = 0,06 m²</t>
        </is>
      </c>
      <c r="H42" s="5" t="n">
        <v>0.06</v>
      </c>
      <c r="I42" s="7" t="n">
        <v>15.85</v>
      </c>
      <c r="J42" s="7">
        <f>H42*I42</f>
        <v/>
      </c>
      <c r="K42" s="8" t="n"/>
      <c r="L42" s="5" t="inlineStr">
        <is>
          <t>Preis ist pro m². Am Zuschnitt fragen, ob es eine Mindestmenge oder Schnittkosten gibt – oft lohnt sich ein Reststück. Maße erst nach der Freiraummessung festlegen.</t>
        </is>
      </c>
      <c r="M42" s="9" t="inlineStr">
        <is>
          <t>bauhaus.info</t>
        </is>
      </c>
    </row>
    <row r="43">
      <c r="A43" s="4" t="inlineStr"/>
      <c r="B43" s="5" t="inlineStr">
        <is>
          <t>4 Holz &amp; Zuschnitt</t>
        </is>
      </c>
      <c r="C43" s="5" t="inlineStr">
        <is>
          <t>Probestücke zum Fräsen</t>
        </is>
      </c>
      <c r="D43" s="5" t="inlineStr">
        <is>
          <t>Rechteckleiste Buche, 40 × 20 mm, 1 m</t>
        </is>
      </c>
      <c r="E43" s="6" t="n">
        <v>14610733</v>
      </c>
      <c r="F43" s="5" t="inlineStr">
        <is>
          <t>1 Stk, 1 m</t>
        </is>
      </c>
      <c r="G43" s="5" t="inlineStr">
        <is>
          <t>2 Stk</t>
        </is>
      </c>
      <c r="H43" s="5" t="n">
        <v>2</v>
      </c>
      <c r="I43" s="7" t="n">
        <v>8.35</v>
      </c>
      <c r="J43" s="7">
        <f>H43*I43</f>
        <v/>
      </c>
      <c r="K43" s="8" t="n"/>
      <c r="L43" s="5" t="inlineStr">
        <is>
          <t>In 100-mm-Stücke sägen.</t>
        </is>
      </c>
      <c r="M43" s="9" t="inlineStr">
        <is>
          <t>bauhaus.info</t>
        </is>
      </c>
    </row>
    <row r="44">
      <c r="A44" s="4" t="inlineStr"/>
      <c r="B44" s="5" t="inlineStr">
        <is>
          <t>3 Metall- &amp; Kunststoffprofile</t>
        </is>
      </c>
      <c r="C44" s="5" t="inlineStr">
        <is>
          <t>Späneschutz (Polycarbonat)</t>
        </is>
      </c>
      <c r="D44" s="5" t="inlineStr">
        <is>
          <t>Kunstglas Polycarbonat farblos, 4 mm, 500 × 1000 mm</t>
        </is>
      </c>
      <c r="E44" s="6" t="n">
        <v>29619304</v>
      </c>
      <c r="F44" s="5" t="inlineStr">
        <is>
          <t>1 Platte</t>
        </is>
      </c>
      <c r="G44" s="5" t="inlineStr">
        <is>
          <t>ca. 200 × 150 mm</t>
        </is>
      </c>
      <c r="H44" s="5" t="n">
        <v>1</v>
      </c>
      <c r="I44" s="7" t="n">
        <v>28.75</v>
      </c>
      <c r="J44" s="7">
        <f>H44*I44</f>
        <v/>
      </c>
      <c r="K44" s="8" t="n"/>
      <c r="L44" s="5" t="inlineStr">
        <is>
          <t>3 mm gibt es nicht – 4 mm geht auch und ist stabiler. Kein Acrylglas (PMMA) nehmen, das splittert. Die Platte ist viel zu groß: im Markt nach Zuschnitt oder Reststück fragen.</t>
        </is>
      </c>
      <c r="M44" s="9" t="inlineStr">
        <is>
          <t>bauhaus.info</t>
        </is>
      </c>
    </row>
    <row r="45">
      <c r="A45" s="4" t="inlineStr"/>
      <c r="B45" s="5" t="inlineStr">
        <is>
          <t>5 Farben, Kleben, Pflege</t>
        </is>
      </c>
      <c r="C45" s="5" t="inlineStr">
        <is>
          <t>Werkstück spannen (flache Hölzer)</t>
        </is>
      </c>
      <c r="D45" s="5" t="inlineStr">
        <is>
          <t>Duck Smart doppelseitiges Teppichband, 50 mm × 5 m</t>
        </is>
      </c>
      <c r="E45" s="6" t="n">
        <v>26335957</v>
      </c>
      <c r="F45" s="5" t="inlineStr">
        <is>
          <t>1 Rolle</t>
        </is>
      </c>
      <c r="G45" s="5" t="inlineStr">
        <is>
          <t>1 Rolle</t>
        </is>
      </c>
      <c r="H45" s="5" t="n">
        <v>1</v>
      </c>
      <c r="I45" s="7" t="n">
        <v>2.95</v>
      </c>
      <c r="J45" s="7">
        <f>H45*I45</f>
        <v/>
      </c>
      <c r="K45" s="8" t="n"/>
      <c r="L45" s="5" t="inlineStr"/>
      <c r="M45" s="9" t="inlineStr">
        <is>
          <t>bauhaus.info</t>
        </is>
      </c>
    </row>
    <row r="46">
      <c r="A46" s="4" t="inlineStr"/>
      <c r="B46" s="5" t="inlineStr">
        <is>
          <t>5 Farben, Kleben, Pflege</t>
        </is>
      </c>
      <c r="C46" s="5" t="inlineStr">
        <is>
          <t>Kontrastfarbe Opferplatte / Passmarken für die Kamera</t>
        </is>
      </c>
      <c r="D46" s="5" t="inlineStr">
        <is>
          <t>Dupli-Color Aerosol Art Sprühlack RAL 9005 tiefschwarz matt, 400 ml</t>
        </is>
      </c>
      <c r="E46" s="6" t="n">
        <v>15073128</v>
      </c>
      <c r="F46" s="5" t="inlineStr">
        <is>
          <t>400 ml</t>
        </is>
      </c>
      <c r="G46" s="5" t="inlineStr">
        <is>
          <t>1 Dose</t>
        </is>
      </c>
      <c r="H46" s="5" t="n">
        <v>1</v>
      </c>
      <c r="I46" s="7" t="n">
        <v>9.949999999999999</v>
      </c>
      <c r="J46" s="7">
        <f>H46*I46</f>
        <v/>
      </c>
      <c r="K46" s="8" t="n"/>
      <c r="L46" s="5" t="inlineStr">
        <is>
          <t>Matt ist wichtig, damit die Kamera keine Spiegelungen sieht.</t>
        </is>
      </c>
      <c r="M46" s="9" t="inlineStr">
        <is>
          <t>bauhaus.info</t>
        </is>
      </c>
    </row>
    <row r="47">
      <c r="A47" s="4" t="inlineStr"/>
      <c r="B47" s="5" t="inlineStr">
        <is>
          <t>5 Farben, Kleben, Pflege</t>
        </is>
      </c>
      <c r="C47" s="5" t="inlineStr">
        <is>
          <t>Schmierung der Führungen</t>
        </is>
      </c>
      <c r="D47" s="5" t="inlineStr">
        <is>
          <t>Profi Depot Feinmechaniköl, 150 ml</t>
        </is>
      </c>
      <c r="E47" s="6" t="n">
        <v>22829078</v>
      </c>
      <c r="F47" s="5" t="inlineStr">
        <is>
          <t>150 ml</t>
        </is>
      </c>
      <c r="G47" s="5" t="inlineStr">
        <is>
          <t>1 Flasche</t>
        </is>
      </c>
      <c r="H47" s="5" t="n">
        <v>1</v>
      </c>
      <c r="I47" s="7" t="n">
        <v>4.79</v>
      </c>
      <c r="J47" s="7">
        <f>H47*I47</f>
        <v/>
      </c>
      <c r="K47" s="8" t="n"/>
      <c r="L47" s="5" t="inlineStr"/>
      <c r="M47" s="9" t="inlineStr">
        <is>
          <t>bauhaus.info</t>
        </is>
      </c>
    </row>
    <row r="48">
      <c r="A48" s="4" t="inlineStr"/>
      <c r="B48" s="5" t="inlineStr">
        <is>
          <t>5 Farben, Kleben, Pflege</t>
        </is>
      </c>
      <c r="C48" s="5" t="inlineStr">
        <is>
          <t>Späne wegpinseln</t>
        </is>
      </c>
      <c r="D48" s="5" t="inlineStr">
        <is>
          <t>Flachpinsel 30 mm, Mischborsten</t>
        </is>
      </c>
      <c r="E48" s="6" t="n">
        <v>25873454</v>
      </c>
      <c r="F48" s="5" t="inlineStr">
        <is>
          <t>1 Stk</t>
        </is>
      </c>
      <c r="G48" s="5" t="inlineStr">
        <is>
          <t>1 Stk</t>
        </is>
      </c>
      <c r="H48" s="5" t="n">
        <v>1</v>
      </c>
      <c r="I48" s="7" t="n">
        <v>2.35</v>
      </c>
      <c r="J48" s="7">
        <f>H48*I48</f>
        <v/>
      </c>
      <c r="K48" s="8" t="n"/>
      <c r="L48" s="5" t="inlineStr"/>
      <c r="M48" s="9" t="inlineStr">
        <is>
          <t>bauhaus.info</t>
        </is>
      </c>
    </row>
    <row r="49">
      <c r="I49" s="10" t="inlineStr">
        <is>
          <t>Summe</t>
        </is>
      </c>
      <c r="J49" s="11">
        <f>SUM(J6:J48)</f>
        <v/>
      </c>
      <c r="K49" s="11">
        <f>SUM(K6:K48)</f>
        <v/>
      </c>
    </row>
  </sheetData>
  <autoFilter ref="A5:M48"/>
  <dataValidations count="1">
    <dataValidation sqref="A6:A48" showDropDown="0" showInputMessage="0" showErrorMessage="0" allowBlank="1" type="list">
      <formula1>"x"</formula1>
    </dataValidation>
  </dataValidations>
  <hyperlinks>
    <hyperlink xmlns:r="http://schemas.openxmlformats.org/officeDocument/2006/relationships" ref="M6" r:id="rId1"/>
    <hyperlink xmlns:r="http://schemas.openxmlformats.org/officeDocument/2006/relationships" ref="M7" r:id="rId2"/>
    <hyperlink xmlns:r="http://schemas.openxmlformats.org/officeDocument/2006/relationships" ref="M8" r:id="rId3"/>
    <hyperlink xmlns:r="http://schemas.openxmlformats.org/officeDocument/2006/relationships" ref="M9" r:id="rId4"/>
    <hyperlink xmlns:r="http://schemas.openxmlformats.org/officeDocument/2006/relationships" ref="M10" r:id="rId5"/>
    <hyperlink xmlns:r="http://schemas.openxmlformats.org/officeDocument/2006/relationships" ref="M11" r:id="rId6"/>
    <hyperlink xmlns:r="http://schemas.openxmlformats.org/officeDocument/2006/relationships" ref="M12" r:id="rId7"/>
    <hyperlink xmlns:r="http://schemas.openxmlformats.org/officeDocument/2006/relationships" ref="M13" r:id="rId8"/>
    <hyperlink xmlns:r="http://schemas.openxmlformats.org/officeDocument/2006/relationships" ref="M14" r:id="rId9"/>
    <hyperlink xmlns:r="http://schemas.openxmlformats.org/officeDocument/2006/relationships" ref="M15" r:id="rId10"/>
    <hyperlink xmlns:r="http://schemas.openxmlformats.org/officeDocument/2006/relationships" ref="M16" r:id="rId11"/>
    <hyperlink xmlns:r="http://schemas.openxmlformats.org/officeDocument/2006/relationships" ref="M17" r:id="rId12"/>
    <hyperlink xmlns:r="http://schemas.openxmlformats.org/officeDocument/2006/relationships" ref="M18" r:id="rId13"/>
    <hyperlink xmlns:r="http://schemas.openxmlformats.org/officeDocument/2006/relationships" ref="M19" r:id="rId14"/>
    <hyperlink xmlns:r="http://schemas.openxmlformats.org/officeDocument/2006/relationships" ref="M20" r:id="rId15"/>
    <hyperlink xmlns:r="http://schemas.openxmlformats.org/officeDocument/2006/relationships" ref="M21" r:id="rId16"/>
    <hyperlink xmlns:r="http://schemas.openxmlformats.org/officeDocument/2006/relationships" ref="M22" r:id="rId17"/>
    <hyperlink xmlns:r="http://schemas.openxmlformats.org/officeDocument/2006/relationships" ref="M23" r:id="rId18"/>
    <hyperlink xmlns:r="http://schemas.openxmlformats.org/officeDocument/2006/relationships" ref="M24" r:id="rId19"/>
    <hyperlink xmlns:r="http://schemas.openxmlformats.org/officeDocument/2006/relationships" ref="M25" r:id="rId20"/>
    <hyperlink xmlns:r="http://schemas.openxmlformats.org/officeDocument/2006/relationships" ref="M26" r:id="rId21"/>
    <hyperlink xmlns:r="http://schemas.openxmlformats.org/officeDocument/2006/relationships" ref="M27" r:id="rId22"/>
    <hyperlink xmlns:r="http://schemas.openxmlformats.org/officeDocument/2006/relationships" ref="M28" r:id="rId23"/>
    <hyperlink xmlns:r="http://schemas.openxmlformats.org/officeDocument/2006/relationships" ref="M29" r:id="rId24"/>
    <hyperlink xmlns:r="http://schemas.openxmlformats.org/officeDocument/2006/relationships" ref="M30" r:id="rId25"/>
    <hyperlink xmlns:r="http://schemas.openxmlformats.org/officeDocument/2006/relationships" ref="M31" r:id="rId26"/>
    <hyperlink xmlns:r="http://schemas.openxmlformats.org/officeDocument/2006/relationships" ref="M32" r:id="rId27"/>
    <hyperlink xmlns:r="http://schemas.openxmlformats.org/officeDocument/2006/relationships" ref="M33" r:id="rId28"/>
    <hyperlink xmlns:r="http://schemas.openxmlformats.org/officeDocument/2006/relationships" ref="M34" r:id="rId29"/>
    <hyperlink xmlns:r="http://schemas.openxmlformats.org/officeDocument/2006/relationships" ref="M35" r:id="rId30"/>
    <hyperlink xmlns:r="http://schemas.openxmlformats.org/officeDocument/2006/relationships" ref="M36" r:id="rId31"/>
    <hyperlink xmlns:r="http://schemas.openxmlformats.org/officeDocument/2006/relationships" ref="M37" r:id="rId32"/>
    <hyperlink xmlns:r="http://schemas.openxmlformats.org/officeDocument/2006/relationships" ref="M38" r:id="rId33"/>
    <hyperlink xmlns:r="http://schemas.openxmlformats.org/officeDocument/2006/relationships" ref="M39" r:id="rId34"/>
    <hyperlink xmlns:r="http://schemas.openxmlformats.org/officeDocument/2006/relationships" ref="M40" r:id="rId35"/>
    <hyperlink xmlns:r="http://schemas.openxmlformats.org/officeDocument/2006/relationships" ref="M41" r:id="rId36"/>
    <hyperlink xmlns:r="http://schemas.openxmlformats.org/officeDocument/2006/relationships" ref="M42" r:id="rId37"/>
    <hyperlink xmlns:r="http://schemas.openxmlformats.org/officeDocument/2006/relationships" ref="M43" r:id="rId38"/>
    <hyperlink xmlns:r="http://schemas.openxmlformats.org/officeDocument/2006/relationships" ref="M44" r:id="rId39"/>
    <hyperlink xmlns:r="http://schemas.openxmlformats.org/officeDocument/2006/relationships" ref="M45" r:id="rId40"/>
    <hyperlink xmlns:r="http://schemas.openxmlformats.org/officeDocument/2006/relationships" ref="M46" r:id="rId41"/>
    <hyperlink xmlns:r="http://schemas.openxmlformats.org/officeDocument/2006/relationships" ref="M47" r:id="rId42"/>
    <hyperlink xmlns:r="http://schemas.openxmlformats.org/officeDocument/2006/relationships" ref="M48" r:id="rId43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70" customWidth="1" min="3" max="3"/>
  </cols>
  <sheetData>
    <row r="1">
      <c r="A1" s="1" t="inlineStr">
        <is>
          <t>Nicht bei Bauhaus erhältlich</t>
        </is>
      </c>
    </row>
    <row r="3" ht="30" customHeight="1">
      <c r="A3" s="3" t="inlineStr">
        <is>
          <t>Teil</t>
        </is>
      </c>
      <c r="B3" s="3" t="inlineStr">
        <is>
          <t>Warum nicht Bauhaus</t>
        </is>
      </c>
      <c r="C3" s="3" t="inlineStr">
        <is>
          <t>Stattdessen / Alternative</t>
        </is>
      </c>
    </row>
    <row r="4">
      <c r="A4" s="5" t="inlineStr">
        <is>
          <t>Leitungsschutzschalter 1+N, C6 (2 Stück)</t>
        </is>
      </c>
      <c r="B4" s="5" t="inlineStr">
        <is>
          <t>Bauhaus führt 1+N nur ab 16 A (z. B. Hager MCN116, C16). C16 schützt deine Geräte nicht so wie im Schaltplan geplant.</t>
        </is>
      </c>
      <c r="C4" s="5" t="inlineStr">
        <is>
          <t>Online/Elektro-Großhandel: Siemens 5SL6506-7 (C6, 1+N) – siehe Materialliste. (Korrektur 22.10.2026: Hager MCN106 ist 1-polig, nicht 1+N.)</t>
        </is>
      </c>
    </row>
    <row r="5">
      <c r="A5" s="5" t="inlineStr">
        <is>
          <t>Alu-Flachprofil 60 × 6 mm (Motorhalteplatten)</t>
        </is>
      </c>
      <c r="B5" s="5" t="inlineStr">
        <is>
          <t>Bauhaus hat maximal 50 × 3 mm – zu dünn für die Servoflansche, die Platte würde federn.</t>
        </is>
      </c>
      <c r="C5" s="5" t="inlineStr">
        <is>
          <t>Online beim Alu-Zuschnitt (z. B. 60 × 6 mm, 0,5 m) – siehe Materialliste.</t>
        </is>
      </c>
    </row>
    <row r="6">
      <c r="A6" s="5" t="inlineStr">
        <is>
          <t>Warnaufkleber „Warnung vor elektrischer Spannung“ (W012)</t>
        </is>
      </c>
      <c r="B6" s="5" t="inlineStr">
        <is>
          <t>Bauhaus hat nur ein großes Hartkunststoff-Schild 23 × 33 cm (Art.-Nr. 25580471, 11,65 €) – zu groß für die Schranktür.</t>
        </is>
      </c>
      <c r="C6" s="5" t="inlineStr">
        <is>
          <t>Online als Aufkleber ca. 50 mm Kantenlänge, ein paar Euro.</t>
        </is>
      </c>
    </row>
    <row r="7">
      <c r="A7" s="5" t="inlineStr">
        <is>
          <t>Aderendhülsen 0,25 mm² (für LiYCY 0,25)</t>
        </is>
      </c>
      <c r="B7" s="5" t="inlineStr">
        <is>
          <t>Nicht in der Voltomat-Box enthalten.</t>
        </is>
      </c>
      <c r="C7" s="5" t="inlineStr">
        <is>
          <t>Zusammen mit den Leitungen online bestellen.</t>
        </is>
      </c>
    </row>
    <row r="8">
      <c r="A8" s="5" t="inlineStr">
        <is>
          <t>Edelstahlschrauben DIN 912 M3–M5</t>
        </is>
      </c>
      <c r="B8" s="5" t="inlineStr">
        <is>
          <t>Bei Bauhaus nur verzinkt 8.8 gefunden.</t>
        </is>
      </c>
      <c r="C8" s="5" t="inlineStr">
        <is>
          <t>Nicht nötig – verzinkt passt. Nur wenn du unbedingt A2 willst: online.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Tipps für den Einkauf</t>
        </is>
      </c>
    </row>
    <row r="3" ht="30" customHeight="1">
      <c r="A3" s="3" t="inlineStr">
        <is>
          <t>Wann</t>
        </is>
      </c>
      <c r="B3" s="3" t="inlineStr">
        <is>
          <t>Tipp</t>
        </is>
      </c>
    </row>
    <row r="4">
      <c r="A4" s="5" t="inlineStr">
        <is>
          <t>Vor dem Losgehen</t>
        </is>
      </c>
      <c r="B4" s="5" t="inlineStr">
        <is>
          <t>Messschieber einpacken: Kabelverschraubungen, T-Nut und Profile direkt am Regal vergleichen.</t>
        </is>
      </c>
    </row>
    <row r="5">
      <c r="A5" s="5" t="inlineStr">
        <is>
          <t>Vor dem Losgehen</t>
        </is>
      </c>
      <c r="B5" s="5" t="inlineStr">
        <is>
          <t>Freiraum für die Aufspannplatte und die Montageplatte des Schranks vorher messen – davon hängen MDF-Zuschnitt und Hutschienen ab.</t>
        </is>
      </c>
    </row>
    <row r="6">
      <c r="A6" s="5" t="inlineStr">
        <is>
          <t>Im Markt</t>
        </is>
      </c>
      <c r="B6" s="5" t="inlineStr">
        <is>
          <t>Art.-Nr. am Infopunkt oder in der Bauhaus-App eingeben, dann zeigt sie Gang und Regal.</t>
        </is>
      </c>
    </row>
    <row r="7">
      <c r="A7" s="5" t="inlineStr">
        <is>
          <t>Im Markt</t>
        </is>
      </c>
      <c r="B7" s="5" t="inlineStr">
        <is>
          <t>Kaltgerätekabel: Schuko-Stecker auf C13-Buchse (3 Löcher, keine Kerbe). Kein C7 („Achter“) und kein C15. Bild: Beschaffung/Kaltgeraetekabel_C13.png.</t>
        </is>
      </c>
    </row>
    <row r="8">
      <c r="A8" s="5" t="inlineStr">
        <is>
          <t>Im Markt</t>
        </is>
      </c>
      <c r="B8" s="5" t="inlineStr">
        <is>
          <t>Feinsicherungen: auf „T“ (träge) achten, nicht „F“ (flink).</t>
        </is>
      </c>
    </row>
    <row r="9">
      <c r="A9" s="5" t="inlineStr">
        <is>
          <t>Im Markt</t>
        </is>
      </c>
      <c r="B9" s="5" t="inlineStr">
        <is>
          <t>Zuschnitt (MDF, Polycarbonat): nach Reststücken fragen, das ist oft günstiger.</t>
        </is>
      </c>
    </row>
    <row r="10">
      <c r="A10" s="5" t="inlineStr">
        <is>
          <t>An der Kasse</t>
        </is>
      </c>
      <c r="B10" s="5" t="inlineStr">
        <is>
          <t>Ist-Preis in die gelbe Spalte eintragen und den Kassenbon aufheben – er gehört in die Kostenübersicht der Arbeit.</t>
        </is>
      </c>
    </row>
    <row r="11">
      <c r="A11" s="5" t="inlineStr">
        <is>
          <t>Danach</t>
        </is>
      </c>
      <c r="B11" s="5" t="inlineStr">
        <is>
          <t>In der Projektmappe Status auf „im Bestand“ setzen und Ist-Preis eintragen.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2026-10-26T13:29:22Z</dcterms:created>
  <dcterms:modified xmlns:dcterms="http://purl.org/dc/terms/" xmlns:xsi="http://www.w3.org/2001/XMLSchema-instance" xsi:type="dcterms:W3CDTF">2026-10-26T13:29:22Z</dcterms:modified>
</cp:coreProperties>
</file>